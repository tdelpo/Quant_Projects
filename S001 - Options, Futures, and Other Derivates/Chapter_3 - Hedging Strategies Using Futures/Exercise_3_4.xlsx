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adef9dbd1ee1e5/Desktop/Main_Development_Folder/Quant_Projects/S001 - Options^J Futures^J and Other Derivates/Chapter_3 - Hedging Strategies Using Futures/"/>
    </mc:Choice>
  </mc:AlternateContent>
  <xr:revisionPtr revIDLastSave="6" documentId="8_{F3FBF24E-41BA-45BF-B152-B36AD71FE6C6}" xr6:coauthVersionLast="47" xr6:coauthVersionMax="47" xr10:uidLastSave="{448038DD-77DD-4F6A-BB05-F52D62DADC49}"/>
  <bookViews>
    <workbookView xWindow="25695" yWindow="0" windowWidth="26010" windowHeight="20985" xr2:uid="{62595A13-C263-4358-A91E-97D466ABB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8" i="1" l="1"/>
  <c r="G19" i="1" s="1"/>
  <c r="D18" i="1"/>
  <c r="D19" i="1" s="1"/>
  <c r="E18" i="1"/>
  <c r="E19" i="1" s="1"/>
  <c r="F18" i="1"/>
  <c r="F19" i="1" s="1"/>
  <c r="C18" i="1"/>
  <c r="C19" i="1" s="1"/>
  <c r="D17" i="1"/>
  <c r="E17" i="1"/>
  <c r="F17" i="1"/>
  <c r="G17" i="1"/>
  <c r="C17" i="1"/>
  <c r="D14" i="1"/>
  <c r="E14" i="1"/>
  <c r="F14" i="1"/>
  <c r="G14" i="1"/>
  <c r="C14" i="1"/>
  <c r="C11" i="1"/>
  <c r="G16" i="1" s="1"/>
  <c r="C10" i="1"/>
  <c r="G20" i="1" l="1"/>
  <c r="G21" i="1" s="1"/>
  <c r="F16" i="1"/>
  <c r="F20" i="1" s="1"/>
  <c r="F21" i="1" s="1"/>
  <c r="E16" i="1"/>
  <c r="E20" i="1" s="1"/>
  <c r="E21" i="1" s="1"/>
  <c r="D16" i="1"/>
  <c r="D20" i="1" s="1"/>
  <c r="D21" i="1" s="1"/>
  <c r="C16" i="1"/>
  <c r="C20" i="1" s="1"/>
  <c r="C21" i="1" s="1"/>
</calcChain>
</file>

<file path=xl/sharedStrings.xml><?xml version="1.0" encoding="utf-8"?>
<sst xmlns="http://schemas.openxmlformats.org/spreadsheetml/2006/main" count="30" uniqueCount="23">
  <si>
    <t>Value of Index in three months</t>
  </si>
  <si>
    <t>Futures price today</t>
  </si>
  <si>
    <t>r</t>
  </si>
  <si>
    <t>q</t>
  </si>
  <si>
    <t>beta</t>
  </si>
  <si>
    <t>Index Level</t>
  </si>
  <si>
    <t>Value of Portfolio</t>
  </si>
  <si>
    <t>Value of Futures Contract</t>
  </si>
  <si>
    <t>Size of Futures Contract</t>
  </si>
  <si>
    <t>Variable</t>
  </si>
  <si>
    <t>Value</t>
  </si>
  <si>
    <t>Unit</t>
  </si>
  <si>
    <t>[-]</t>
  </si>
  <si>
    <t>[$]</t>
  </si>
  <si>
    <t>Index Future Price</t>
  </si>
  <si>
    <t>Number of Contracts</t>
  </si>
  <si>
    <t>Futures price in 3 months:</t>
  </si>
  <si>
    <t>Gain on futures position</t>
  </si>
  <si>
    <t>Return on market</t>
  </si>
  <si>
    <t>Expected return on portfolio</t>
  </si>
  <si>
    <t>Expected portfolio value incl dividends</t>
  </si>
  <si>
    <t>Total position in 3 months</t>
  </si>
  <si>
    <t>Net Gain in 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</si>
</sst>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7" formatCode="_-&quot;£&quot;* #,##0_-;\-&quot;£&quot;* #,##0_-;_-&quot;£&quot;* &quot;-&quot;??_-;_-@_-"/>
    <numFmt numFmtId="169" formatCode="0.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169" fontId="0" fillId="0" borderId="1" xfId="2" applyNumberFormat="1" applyFont="1" applyBorder="1" applyAlignment="1">
      <alignment horizontal="center"/>
    </xf>
    <xf numFmtId="167" fontId="0" fillId="0" borderId="1" xfId="1" applyNumberFormat="1" applyFont="1" applyBorder="1"/>
    <xf numFmtId="167" fontId="0" fillId="0" borderId="1" xfId="0" applyNumberFormat="1" applyBorder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7DAE-CE78-4153-959D-B1FCAF0B26B1}">
  <dimension ref="B2:H21"/>
  <sheetViews>
    <sheetView tabSelected="1" workbookViewId="0">
      <selection activeCell="F8" sqref="F8"/>
    </sheetView>
  </sheetViews>
  <sheetFormatPr defaultRowHeight="15" x14ac:dyDescent="0.25"/>
  <cols>
    <col min="1" max="1" width="4.28515625" customWidth="1"/>
    <col min="2" max="2" width="35.42578125" bestFit="1" customWidth="1"/>
    <col min="3" max="3" width="14.28515625" bestFit="1" customWidth="1"/>
    <col min="4" max="4" width="12.7109375" bestFit="1" customWidth="1"/>
    <col min="5" max="5" width="13.28515625" bestFit="1" customWidth="1"/>
    <col min="6" max="7" width="12.7109375" bestFit="1" customWidth="1"/>
  </cols>
  <sheetData>
    <row r="2" spans="2:8" x14ac:dyDescent="0.25">
      <c r="B2" s="3" t="s">
        <v>9</v>
      </c>
      <c r="C2" s="3" t="s">
        <v>10</v>
      </c>
      <c r="D2" s="3" t="s">
        <v>11</v>
      </c>
    </row>
    <row r="3" spans="2:8" x14ac:dyDescent="0.25">
      <c r="B3" s="2" t="s">
        <v>2</v>
      </c>
      <c r="C3" s="2">
        <v>0.04</v>
      </c>
      <c r="D3" s="2" t="s">
        <v>12</v>
      </c>
    </row>
    <row r="4" spans="2:8" x14ac:dyDescent="0.25">
      <c r="B4" s="2" t="s">
        <v>3</v>
      </c>
      <c r="C4" s="2">
        <v>0.01</v>
      </c>
      <c r="D4" s="2" t="s">
        <v>12</v>
      </c>
    </row>
    <row r="5" spans="2:8" x14ac:dyDescent="0.25">
      <c r="B5" s="2" t="s">
        <v>4</v>
      </c>
      <c r="C5" s="2">
        <v>1.5</v>
      </c>
      <c r="D5" s="2" t="s">
        <v>12</v>
      </c>
    </row>
    <row r="6" spans="2:8" x14ac:dyDescent="0.25">
      <c r="B6" s="2" t="s">
        <v>5</v>
      </c>
      <c r="C6" s="2">
        <v>1000</v>
      </c>
      <c r="D6" s="2" t="s">
        <v>13</v>
      </c>
    </row>
    <row r="7" spans="2:8" x14ac:dyDescent="0.25">
      <c r="B7" s="2" t="s">
        <v>14</v>
      </c>
      <c r="C7" s="2">
        <v>1010</v>
      </c>
      <c r="D7" s="2" t="s">
        <v>13</v>
      </c>
    </row>
    <row r="8" spans="2:8" x14ac:dyDescent="0.25">
      <c r="B8" s="2" t="s">
        <v>6</v>
      </c>
      <c r="C8" s="2">
        <v>5050000</v>
      </c>
      <c r="D8" s="2" t="s">
        <v>13</v>
      </c>
    </row>
    <row r="9" spans="2:8" x14ac:dyDescent="0.25">
      <c r="B9" s="2" t="s">
        <v>8</v>
      </c>
      <c r="C9" s="2">
        <v>250</v>
      </c>
      <c r="D9" s="2" t="s">
        <v>12</v>
      </c>
    </row>
    <row r="10" spans="2:8" x14ac:dyDescent="0.25">
      <c r="B10" s="2" t="s">
        <v>7</v>
      </c>
      <c r="C10" s="2">
        <f>C9*C7</f>
        <v>252500</v>
      </c>
      <c r="D10" s="2" t="s">
        <v>13</v>
      </c>
    </row>
    <row r="11" spans="2:8" x14ac:dyDescent="0.25">
      <c r="B11" s="2" t="s">
        <v>15</v>
      </c>
      <c r="C11" s="2">
        <f>C5*C8/C10</f>
        <v>30</v>
      </c>
      <c r="D11" s="2" t="s">
        <v>12</v>
      </c>
    </row>
    <row r="13" spans="2:8" x14ac:dyDescent="0.25">
      <c r="B13" s="4" t="s">
        <v>0</v>
      </c>
      <c r="C13" s="5">
        <v>900</v>
      </c>
      <c r="D13" s="5">
        <v>950</v>
      </c>
      <c r="E13" s="5">
        <v>1000</v>
      </c>
      <c r="F13" s="5">
        <v>1050</v>
      </c>
      <c r="G13" s="5">
        <v>1100</v>
      </c>
      <c r="H13" s="1"/>
    </row>
    <row r="14" spans="2:8" x14ac:dyDescent="0.25">
      <c r="B14" s="4" t="s">
        <v>1</v>
      </c>
      <c r="C14" s="5">
        <f>$C$7</f>
        <v>1010</v>
      </c>
      <c r="D14" s="5">
        <f t="shared" ref="D14:G14" si="0">$C$7</f>
        <v>1010</v>
      </c>
      <c r="E14" s="5">
        <f t="shared" si="0"/>
        <v>1010</v>
      </c>
      <c r="F14" s="5">
        <f t="shared" si="0"/>
        <v>1010</v>
      </c>
      <c r="G14" s="5">
        <f t="shared" si="0"/>
        <v>1010</v>
      </c>
      <c r="H14" s="1"/>
    </row>
    <row r="15" spans="2:8" x14ac:dyDescent="0.25">
      <c r="B15" s="4" t="s">
        <v>16</v>
      </c>
      <c r="C15" s="6">
        <v>902</v>
      </c>
      <c r="D15" s="6">
        <v>952</v>
      </c>
      <c r="E15" s="6">
        <v>1003</v>
      </c>
      <c r="F15" s="6">
        <v>1053</v>
      </c>
      <c r="G15" s="6">
        <v>1103</v>
      </c>
    </row>
    <row r="16" spans="2:8" x14ac:dyDescent="0.25">
      <c r="B16" s="4" t="s">
        <v>17</v>
      </c>
      <c r="C16" s="7">
        <f>$C$11*(C14-C15) * $C$9</f>
        <v>810000</v>
      </c>
      <c r="D16" s="7">
        <f t="shared" ref="D16:G16" si="1">$C$11*(D14-D15) * $C$9</f>
        <v>435000</v>
      </c>
      <c r="E16" s="7">
        <f t="shared" si="1"/>
        <v>52500</v>
      </c>
      <c r="F16" s="7">
        <f t="shared" si="1"/>
        <v>-322500</v>
      </c>
      <c r="G16" s="7">
        <f t="shared" si="1"/>
        <v>-697500</v>
      </c>
    </row>
    <row r="17" spans="2:7" x14ac:dyDescent="0.25">
      <c r="B17" s="4" t="s">
        <v>18</v>
      </c>
      <c r="C17" s="8">
        <f>(C13-$C$6)/$C$6 + $C$4/4</f>
        <v>-9.7500000000000003E-2</v>
      </c>
      <c r="D17" s="8">
        <f t="shared" ref="D17:G17" si="2">(D13-$C$6)/$C$6 + $C$4/4</f>
        <v>-4.7500000000000001E-2</v>
      </c>
      <c r="E17" s="8">
        <f t="shared" si="2"/>
        <v>2.5000000000000001E-3</v>
      </c>
      <c r="F17" s="8">
        <f t="shared" si="2"/>
        <v>5.2500000000000005E-2</v>
      </c>
      <c r="G17" s="8">
        <f t="shared" si="2"/>
        <v>0.10250000000000001</v>
      </c>
    </row>
    <row r="18" spans="2:7" x14ac:dyDescent="0.25">
      <c r="B18" s="4" t="s">
        <v>19</v>
      </c>
      <c r="C18" s="8">
        <f>$C$3/4 + $C$5 * (C17 - $C$3/4)</f>
        <v>-0.15125</v>
      </c>
      <c r="D18" s="8">
        <f t="shared" ref="D18:F18" si="3">$C$3/4 + $C$5 * (D17 - $C$3/4)</f>
        <v>-7.6250000000000012E-2</v>
      </c>
      <c r="E18" s="8">
        <f t="shared" si="3"/>
        <v>-1.2499999999999994E-3</v>
      </c>
      <c r="F18" s="8">
        <f t="shared" si="3"/>
        <v>7.3749999999999996E-2</v>
      </c>
      <c r="G18" s="8">
        <f>$C$3/4 + $C$5 * (G17 - $C$3/4)</f>
        <v>0.14875000000000002</v>
      </c>
    </row>
    <row r="19" spans="2:7" x14ac:dyDescent="0.25">
      <c r="B19" s="4" t="s">
        <v>20</v>
      </c>
      <c r="C19" s="9">
        <f>$C$8*(1+C18)</f>
        <v>4286187.5</v>
      </c>
      <c r="D19" s="9">
        <f t="shared" ref="D19:G19" si="4">$C$8*(1+D18)</f>
        <v>4664937.5</v>
      </c>
      <c r="E19" s="9">
        <f>$C$8*(1+E18)</f>
        <v>5043687.5</v>
      </c>
      <c r="F19" s="9">
        <f t="shared" si="4"/>
        <v>5422437.5</v>
      </c>
      <c r="G19" s="9">
        <f t="shared" si="4"/>
        <v>5801187.5</v>
      </c>
    </row>
    <row r="20" spans="2:7" x14ac:dyDescent="0.25">
      <c r="B20" s="4" t="s">
        <v>21</v>
      </c>
      <c r="C20" s="10">
        <f>C19+C16</f>
        <v>5096187.5</v>
      </c>
      <c r="D20" s="10">
        <f t="shared" ref="D20:G20" si="5">D19+D16</f>
        <v>5099937.5</v>
      </c>
      <c r="E20" s="10">
        <f>E19+E16</f>
        <v>5096187.5</v>
      </c>
      <c r="F20" s="10">
        <f t="shared" si="5"/>
        <v>5099937.5</v>
      </c>
      <c r="G20" s="10">
        <f t="shared" si="5"/>
        <v>5103687.5</v>
      </c>
    </row>
    <row r="21" spans="2:7" x14ac:dyDescent="0.25">
      <c r="B21" s="4" t="s">
        <v>22</v>
      </c>
      <c r="C21" s="10">
        <f>C20-$C$8</f>
        <v>46187.5</v>
      </c>
      <c r="D21" s="10">
        <f t="shared" ref="D21:G21" si="6">D20-$C$8</f>
        <v>49937.5</v>
      </c>
      <c r="E21" s="10">
        <f>E20-$C$8</f>
        <v>46187.5</v>
      </c>
      <c r="F21" s="10">
        <f t="shared" si="6"/>
        <v>49937.5</v>
      </c>
      <c r="G21" s="10">
        <f t="shared" si="6"/>
        <v>53687.5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Delport</dc:creator>
  <cp:lastModifiedBy>Tim Delport</cp:lastModifiedBy>
  <dcterms:created xsi:type="dcterms:W3CDTF">2026-05-28T12:36:14Z</dcterms:created>
  <dcterms:modified xsi:type="dcterms:W3CDTF">2026-05-28T12:52:39Z</dcterms:modified>
</cp:coreProperties>
</file>